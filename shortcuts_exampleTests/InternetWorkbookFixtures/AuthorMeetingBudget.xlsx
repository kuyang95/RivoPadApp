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f6d8287a8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가 만남 예산" sheetId="1" r:id="Rc36905c3f94445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sz val="11"/>
      <x:color rgb="FF1F2937"/>
      <x:name val="Arial"/>
    </x:font>
    <x:font>
      <x:b/>
      <x:sz val="16"/>
      <x:color rgb="FF17365D"/>
      <x:name val="Arial"/>
    </x:font>
    <x:font>
      <x:i/>
      <x:sz val="10"/>
      <x:color rgb="FF64748B"/>
      <x:name val="Arial"/>
    </x:font>
    <x:font>
      <x:b/>
      <x:sz val="12"/>
      <x:color rgb="FF17365D"/>
      <x:name val="Arial"/>
    </x:font>
    <x:font>
      <x:b/>
      <x:sz val="11"/>
      <x:color rgb="FFFFFFFF"/>
      <x:name val="Arial"/>
    </x:font>
    <x:font>
      <x:b/>
      <x:sz val="11"/>
      <x:color rgb="FF17365D"/>
      <x:name val="Arial"/>
    </x:font>
    <x:font>
      <x:b/>
      <x:sz val="11"/>
      <x:color rgb="FF17633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4A78"/>
      </x:patternFill>
    </x:fill>
    <x:fill>
      <x:patternFill patternType="solid">
        <x:fgColor rgb="FFFFF0B8"/>
      </x:patternFill>
    </x:fill>
    <x:fill>
      <x:patternFill patternType="solid">
        <x:fgColor rgb="FFE7F2E9"/>
      </x:patternFill>
    </x:fill>
    <x:fill>
      <x:patternFill patternType="solid">
        <x:fgColor rgb="FFEAF0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7D1DF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7" fillId="4" borderId="0" xfId="0" applyNumberFormat="1" applyFont="1" applyFill="1" applyBorder="1" applyAlignment="1">
      <x:alignment horizontal="right" vertical="center"/>
    </x:xf>
    <x:xf numFmtId="200" fontId="6" fillId="5" borderId="0" xfId="0" applyNumberFormat="1" applyFont="1" applyFill="1" applyBorder="1" applyAlignment="1">
      <x:alignment horizontal="right" vertical="center"/>
    </x:xf>
    <x:xf numFmtId="0" fontId="6" fillId="5" borderId="1" xfId="0" applyNumberFormat="1" applyFont="1" applyFill="1" applyBorder="1" applyAlignment="1">
      <x:alignment vertical="center"/>
    </x:xf>
    <x:xf numFmtId="200" fontId="6" fillId="5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8c9d5e6c9474d" /><Relationship Type="http://schemas.openxmlformats.org/officeDocument/2006/relationships/theme" Target="/xl/theme/theme1.xml" Id="R3372925af05b4ec5" /><Relationship Type="http://schemas.openxmlformats.org/officeDocument/2006/relationships/sharedStrings" Target="/xl/sharedStrings.xml" Id="R5e34967bd8ec438e" /><Relationship Type="http://schemas.openxmlformats.org/officeDocument/2006/relationships/worksheet" Target="/xl/worksheets/sheet1.xml" Id="Rc36905c3f94445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4A78"/>
  </x:sheetPr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24" hidden="0" customWidth="1"/>
  </x:cols>
  <x:sheetData>
    <x:row r="2" ht="32" customHeight="1">
      <x:c r="A2" s="3" t="str">
        <x:v>작가와의 만남 · 예산 계획</x:v>
      </x:c>
      <x:c r="B2" s="2"/>
      <x:c r="C2" s="2"/>
      <x:c r="D2" s="2"/>
    </x:row>
    <x:row r="3">
      <x:c r="A3" s="4" t="str">
        <x:v>2026년 10월 15일 | 가상 데모 자료 | 금액 단위: 원</x:v>
      </x:c>
      <x:c r="B3" s="2"/>
      <x:c r="C3" s="2"/>
      <x:c r="D3" s="2"/>
    </x:row>
    <x:row r="4" ht="27" customHeight="1">
      <x:c r="A4" s="2" t="str">
        <x:v>참가 예정 인원</x:v>
      </x:c>
      <x:c r="B4" s="19" t="n">
        <x:v>24</x:v>
      </x:c>
      <x:c r="C4" s="2"/>
      <x:c r="D4" s="2"/>
    </x:row>
    <x:row r="5" ht="27" customHeight="1">
      <x:c r="A5" s="2" t="str">
        <x:v>사용 가능 예산</x:v>
      </x:c>
      <x:c r="B5" s="19" t="n">
        <x:v>300000</x:v>
      </x:c>
      <x:c r="C5" s="2"/>
      <x:c r="D5" s="2"/>
    </x:row>
    <x:row r="6" ht="27" customHeight="1">
      <x:c r="A6" s="2" t="str">
        <x:v>예상 지출</x:v>
      </x:c>
      <x:c r="B6" s="20" t="n">
        <x:f>D16</x:f>
        <x:v>217200</x:v>
      </x:c>
      <x:c r="C6" s="2"/>
      <x:c r="D6" s="2"/>
    </x:row>
    <x:row r="7" ht="27" customHeight="1">
      <x:c r="A7" s="12" t="str">
        <x:v>예산 잔액</x:v>
      </x:c>
      <x:c r="B7" s="21" t="n">
        <x:f>B5-B6</x:f>
        <x:v>82800</x:v>
      </x:c>
      <x:c r="C7" s="2"/>
      <x:c r="D7" s="2"/>
    </x:row>
    <x:row r="8">
      <x:c r="A8" s="2"/>
      <x:c r="B8" s="2"/>
      <x:c r="C8" s="2"/>
      <x:c r="D8" s="2"/>
    </x:row>
    <x:row r="9">
      <x:c r="A9" s="2"/>
      <x:c r="B9" s="2"/>
      <x:c r="C9" s="2"/>
      <x:c r="D9" s="2"/>
    </x:row>
    <x:row r="10">
      <x:c r="A10" s="5" t="str">
        <x:v>항목별 계획</x:v>
      </x:c>
      <x:c r="B10" s="2"/>
      <x:c r="C10" s="2"/>
      <x:c r="D10" s="2"/>
    </x:row>
    <x:row r="11" ht="30" customHeight="1">
      <x:c r="A11" s="8" t="str">
        <x:v>항목</x:v>
      </x:c>
      <x:c r="B11" s="8" t="str">
        <x:v>수량</x:v>
      </x:c>
      <x:c r="C11" s="8" t="str">
        <x:v>단가 (원)</x:v>
      </x:c>
      <x:c r="D11" s="8" t="str">
        <x:v>예상 금액 (원)</x:v>
      </x:c>
    </x:row>
    <x:row r="12" ht="27" customHeight="1">
      <x:c r="A12" s="2" t="str">
        <x:v>프로그램 인쇄</x:v>
      </x:c>
      <x:c r="B12" s="20" t="n">
        <x:v>30</x:v>
      </x:c>
      <x:c r="C12" s="20" t="n">
        <x:v>600</x:v>
      </x:c>
      <x:c r="D12" s="20" t="n">
        <x:f>B12*C12</x:f>
        <x:v>18000</x:v>
      </x:c>
    </x:row>
    <x:row r="13" ht="27" customHeight="1">
      <x:c r="A13" s="2" t="str">
        <x:v>명찰</x:v>
      </x:c>
      <x:c r="B13" s="20" t="n">
        <x:f>$B$4</x:f>
        <x:v>24</x:v>
      </x:c>
      <x:c r="C13" s="20" t="n">
        <x:v>800</x:v>
      </x:c>
      <x:c r="D13" s="20" t="n">
        <x:f>B13*C13</x:f>
        <x:v>19200</x:v>
      </x:c>
    </x:row>
    <x:row r="14" ht="27" customHeight="1">
      <x:c r="A14" s="2" t="str">
        <x:v>음료</x:v>
      </x:c>
      <x:c r="B14" s="20" t="n">
        <x:f>$B$4</x:f>
        <x:v>24</x:v>
      </x:c>
      <x:c r="C14" s="20" t="n">
        <x:v>3000</x:v>
      </x:c>
      <x:c r="D14" s="20" t="n">
        <x:f>B14*C14</x:f>
        <x:v>72000</x:v>
      </x:c>
    </x:row>
    <x:row r="15" ht="27" customHeight="1">
      <x:c r="A15" s="2" t="str">
        <x:v>간식</x:v>
      </x:c>
      <x:c r="B15" s="20" t="n">
        <x:f>$B$4</x:f>
        <x:v>24</x:v>
      </x:c>
      <x:c r="C15" s="20" t="n">
        <x:v>4500</x:v>
      </x:c>
      <x:c r="D15" s="20" t="n">
        <x:f>B15*C15</x:f>
        <x:v>108000</x:v>
      </x:c>
    </x:row>
    <x:row r="16" ht="27" customHeight="1">
      <x:c r="A16" s="23" t="str">
        <x:v>예상 지출 합계</x:v>
      </x:c>
      <x:c r="B16" s="24"/>
      <x:c r="C16" s="24"/>
      <x:c r="D16" s="24" t="n">
        <x:f>SUM(D12:D15)</x:f>
        <x:v>217200</x:v>
      </x:c>
    </x:row>
    <x:row r="17">
      <x:c r="A17" s="2"/>
      <x:c r="B17" s="2"/>
      <x:c r="C17" s="2"/>
      <x:c r="D17" s="2"/>
    </x:row>
    <x:row r="18" ht="28" customHeight="1">
      <x:c r="A18" s="4" t="str">
        <x:v>B4의 인원을 바꾸면 명찰·음료·간식 비용과 예산 잔액이 함께 바뀝니다.</x:v>
      </x:c>
      <x:c r="B18" s="2"/>
      <x:c r="C18" s="2"/>
      <x:c r="D18" s="2"/>
    </x:row>
  </x:sheetData>
  <x:pageMargins left="0.7" right="0.7" top="0.75" bottom="0.75" header="0.3" footer="0.3"/>
</x:worksheet>
</file>